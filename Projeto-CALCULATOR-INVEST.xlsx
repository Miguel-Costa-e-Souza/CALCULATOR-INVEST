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bb7369802937e/Anexos/"/>
    </mc:Choice>
  </mc:AlternateContent>
  <xr:revisionPtr revIDLastSave="2" documentId="8_{5CB10F9A-5572-447A-9519-7767B353BA92}" xr6:coauthVersionLast="47" xr6:coauthVersionMax="47" xr10:uidLastSave="{C228DA68-381B-4F19-BDAA-1F111BE23AAA}"/>
  <bookViews>
    <workbookView xWindow="-120" yWindow="-120" windowWidth="20730" windowHeight="11040" xr2:uid="{A34D5BA5-A898-4720-8043-33B47198B15A}"/>
  </bookViews>
  <sheets>
    <sheet name="APP" sheetId="1" r:id="rId1"/>
    <sheet name="APOIO" sheetId="3" r:id="rId2"/>
  </sheets>
  <definedNames>
    <definedName name="Anos">APP!$D$14</definedName>
    <definedName name="investir">APP!$D$13</definedName>
    <definedName name="rend_mens">APP!$D$15</definedName>
    <definedName name="Rendimento_carteira">APP!$D$9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D34" i="1"/>
  <c r="E34" i="1" s="1"/>
  <c r="D35" i="1"/>
  <c r="E35" i="1" s="1"/>
  <c r="D36" i="1"/>
  <c r="E36" i="1" s="1"/>
  <c r="D37" i="1"/>
  <c r="E37" i="1" s="1"/>
  <c r="D38" i="1"/>
  <c r="E38" i="1" s="1"/>
  <c r="D33" i="1"/>
  <c r="E33" i="1" s="1"/>
  <c r="E39" i="1" s="1"/>
  <c r="H3" i="3"/>
  <c r="D10" i="1"/>
  <c r="D16" i="1"/>
  <c r="D17" i="1" s="1"/>
  <c r="D24" i="1"/>
  <c r="E24" i="1" s="1"/>
  <c r="D22" i="1"/>
  <c r="E22" i="1" s="1"/>
  <c r="D23" i="1"/>
  <c r="E23" i="1" s="1"/>
  <c r="D21" i="1"/>
  <c r="E21" i="1" s="1"/>
</calcChain>
</file>

<file path=xl/sharedStrings.xml><?xml version="1.0" encoding="utf-8"?>
<sst xmlns="http://schemas.openxmlformats.org/spreadsheetml/2006/main" count="87" uniqueCount="51">
  <si>
    <t>INVESTIMENTO MENSAL</t>
  </si>
  <si>
    <t>Quanto investir por mês?</t>
  </si>
  <si>
    <t>Quantos anos?</t>
  </si>
  <si>
    <t>Taxa de rendimento mensal?</t>
  </si>
  <si>
    <t>Patrimonio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</si>
  <si>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</si>
  <si>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</si>
  <si>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</si>
  <si>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</si>
  <si>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</si>
  <si>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</si>
  <si>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Rendimento na carteira</t>
  </si>
  <si>
    <t>Sugestão de investimento</t>
  </si>
  <si>
    <t>CONFIGURAÇÕES</t>
  </si>
  <si>
    <t>Salário</t>
  </si>
  <si>
    <t>Dividendo</t>
  </si>
  <si>
    <t>CHAVE</t>
  </si>
  <si>
    <t>PERFIL</t>
  </si>
  <si>
    <t>TIPO DE FII</t>
  </si>
  <si>
    <t>%</t>
  </si>
  <si>
    <t>Conservador-PAPEL</t>
  </si>
  <si>
    <t>Conservador</t>
  </si>
  <si>
    <t>PAPEL</t>
  </si>
  <si>
    <t>Conservador-TIJOLO</t>
  </si>
  <si>
    <t>TIJOLO</t>
  </si>
  <si>
    <t>Conservador-HÍBRIDOS</t>
  </si>
  <si>
    <t>HÍBRIDOS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</si>
  <si>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</si>
  <si>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</si>
  <si>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</si>
  <si>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</si>
  <si>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</si>
  <si>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</si>
  <si>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</si>
  <si>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</si>
  <si>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</si>
  <si>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</si>
  <si>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</si>
  <si>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</si>
  <si>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</si>
  <si>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</si>
  <si>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</si>
  <si>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</si>
  <si>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</si>
  <si>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</si>
  <si>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</si>
  <si>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</si>
  <si>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TIPO</t>
  </si>
  <si>
    <t>VALOR</t>
  </si>
  <si>
    <t>VALOR A SER INVESTIDO POR MÊS</t>
  </si>
  <si>
    <t>PERCENTUAL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</si>
</sst>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  <numFmt numFmtId="171" formatCode=";;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0" tint="-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 style="thin">
        <color theme="1" tint="0.1499679555650502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0" fontId="0" fillId="0" borderId="1" xfId="0" applyBorder="1"/>
    <xf numFmtId="171" fontId="0" fillId="0" borderId="0" xfId="0" applyNumberFormat="1"/>
    <xf numFmtId="0" fontId="0" fillId="0" borderId="2" xfId="0" applyBorder="1"/>
    <xf numFmtId="0" fontId="0" fillId="0" borderId="0" xfId="0" applyBorder="1"/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5" borderId="16" xfId="0" applyFill="1" applyBorder="1"/>
    <xf numFmtId="0" fontId="0" fillId="5" borderId="17" xfId="0" applyFill="1" applyBorder="1"/>
    <xf numFmtId="10" fontId="0" fillId="6" borderId="6" xfId="0" applyNumberFormat="1" applyFill="1" applyBorder="1"/>
    <xf numFmtId="10" fontId="0" fillId="6" borderId="4" xfId="0" applyNumberFormat="1" applyFill="1" applyBorder="1"/>
    <xf numFmtId="167" fontId="0" fillId="6" borderId="5" xfId="1" applyNumberFormat="1" applyFont="1" applyFill="1" applyBorder="1"/>
    <xf numFmtId="8" fontId="0" fillId="6" borderId="3" xfId="0" applyNumberForma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6" borderId="22" xfId="0" applyFill="1" applyBorder="1"/>
    <xf numFmtId="8" fontId="0" fillId="6" borderId="23" xfId="0" applyNumberFormat="1" applyFill="1" applyBorder="1"/>
    <xf numFmtId="0" fontId="0" fillId="6" borderId="24" xfId="0" applyFill="1" applyBorder="1"/>
    <xf numFmtId="8" fontId="0" fillId="6" borderId="25" xfId="0" applyNumberFormat="1" applyFill="1" applyBorder="1"/>
    <xf numFmtId="8" fontId="0" fillId="6" borderId="26" xfId="0" applyNumberFormat="1" applyFill="1" applyBorder="1"/>
    <xf numFmtId="167" fontId="2" fillId="0" borderId="12" xfId="0" applyNumberFormat="1" applyFont="1" applyBorder="1"/>
    <xf numFmtId="0" fontId="2" fillId="0" borderId="14" xfId="0" applyFont="1" applyBorder="1"/>
    <xf numFmtId="10" fontId="2" fillId="0" borderId="14" xfId="2" applyNumberFormat="1" applyFont="1" applyBorder="1"/>
    <xf numFmtId="167" fontId="2" fillId="5" borderId="12" xfId="0" applyNumberFormat="1" applyFont="1" applyFill="1" applyBorder="1"/>
    <xf numFmtId="167" fontId="2" fillId="5" borderId="18" xfId="0" applyNumberFormat="1" applyFont="1" applyFill="1" applyBorder="1"/>
    <xf numFmtId="167" fontId="0" fillId="0" borderId="6" xfId="0" applyNumberFormat="1" applyBorder="1"/>
    <xf numFmtId="9" fontId="0" fillId="0" borderId="4" xfId="2" applyFont="1" applyBorder="1"/>
    <xf numFmtId="0" fontId="0" fillId="2" borderId="21" xfId="0" applyFill="1" applyBorder="1" applyAlignment="1">
      <alignment horizontal="center"/>
    </xf>
    <xf numFmtId="0" fontId="0" fillId="0" borderId="0" xfId="0"/>
    <xf numFmtId="0" fontId="4" fillId="7" borderId="0" xfId="3" applyFont="1" applyFill="1" applyAlignment="1">
      <alignment horizontal="center"/>
    </xf>
    <xf numFmtId="0" fontId="5" fillId="0" borderId="27" xfId="3" applyFont="1" applyBorder="1"/>
    <xf numFmtId="0" fontId="5" fillId="0" borderId="27" xfId="3" applyFont="1" applyBorder="1" applyAlignment="1">
      <alignment horizontal="center"/>
    </xf>
    <xf numFmtId="9" fontId="6" fillId="0" borderId="27" xfId="3" applyNumberFormat="1" applyFont="1" applyBorder="1" applyAlignment="1">
      <alignment horizontal="center"/>
    </xf>
    <xf numFmtId="0" fontId="5" fillId="0" borderId="28" xfId="3" applyFont="1" applyBorder="1"/>
    <xf numFmtId="0" fontId="5" fillId="0" borderId="28" xfId="3" applyFont="1" applyBorder="1" applyAlignment="1">
      <alignment horizontal="center"/>
    </xf>
    <xf numFmtId="9" fontId="6" fillId="0" borderId="28" xfId="3" applyNumberFormat="1" applyFont="1" applyBorder="1" applyAlignment="1">
      <alignment horizontal="center"/>
    </xf>
    <xf numFmtId="9" fontId="0" fillId="0" borderId="0" xfId="2" applyFont="1"/>
    <xf numFmtId="9" fontId="6" fillId="8" borderId="27" xfId="3" applyNumberFormat="1" applyFont="1" applyFill="1" applyBorder="1" applyAlignment="1">
      <alignment horizontal="center"/>
    </xf>
    <xf numFmtId="0" fontId="0" fillId="9" borderId="0" xfId="0" applyFill="1"/>
    <xf numFmtId="0" fontId="5" fillId="3" borderId="0" xfId="3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  <xf numFmtId="167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4">
    <cellStyle name="Moeda" xfId="1" builtinId="4"/>
    <cellStyle name="Normal" xfId="0" builtinId="0"/>
    <cellStyle name="Normal 2" xfId="3" xr:uid="{3DAE6CA8-6C03-406A-931D-8820B0D29283}"/>
    <cellStyle name="Porcentagem" xfId="2" builtinId="5"/>
  </cellStyles>
  <dxfs count="0"/>
  <tableStyles count="1" defaultTableStyle="TableStyleMedium2" defaultPivotStyle="PivotStyleLight16">
    <tableStyle name="Invisible" pivot="0" table="0" count="0" xr9:uid="{F0557467-2530-41CE-9AA2-CBC6B0175C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133350</xdr:rowOff>
    </xdr:from>
    <xdr:to>
      <xdr:col>4</xdr:col>
      <xdr:colOff>1343025</xdr:colOff>
      <xdr:row>4</xdr:row>
      <xdr:rowOff>104776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7EDE2CE-1069-7762-7E9D-37F13499AF29}"/>
            </a:ext>
          </a:extLst>
        </xdr:cNvPr>
        <xdr:cNvSpPr/>
      </xdr:nvSpPr>
      <xdr:spPr>
        <a:xfrm>
          <a:off x="209550" y="323850"/>
          <a:ext cx="6238875" cy="542926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/>
            <a:t>CALCULATOR 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51EC-E3B9-49B8-98B1-7412E1F3D55F}">
  <dimension ref="B3:J39"/>
  <sheetViews>
    <sheetView showGridLines="0" showRowColHeaders="0" tabSelected="1" workbookViewId="0">
      <selection activeCell="F1" sqref="F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2" width="9.140625" customWidth="1"/>
    <col min="3" max="3" width="30.5703125" bestFit="1" customWidth="1"/>
    <col min="4" max="4" width="32.42578125" customWidth="1"/>
    <col min="5" max="5" width="22.140625" customWidth="1"/>
    <col min="6" max="6" width="16.28515625" customWidth="1"/>
    <col min="7" max="7" width="9.140625" hidden="1"/>
    <col min="11" max="16384" width="9.140625" hidden="1"/>
  </cols>
  <sheetData>
    <row r="3" spans="3:9" x14ac:dyDescent="0.25">
      <c r="I3" s="1"/>
    </row>
    <row r="6" spans="3:9" ht="15.75" thickBot="1" x14ac:dyDescent="0.3">
      <c r="D6" s="4"/>
    </row>
    <row r="7" spans="3:9" ht="15.75" thickBot="1" x14ac:dyDescent="0.3">
      <c r="C7" s="5" t="s">
        <v>13</v>
      </c>
      <c r="D7" s="6"/>
    </row>
    <row r="8" spans="3:9" x14ac:dyDescent="0.25">
      <c r="C8" s="14" t="s">
        <v>14</v>
      </c>
      <c r="D8" s="30">
        <v>2000</v>
      </c>
    </row>
    <row r="9" spans="3:9" x14ac:dyDescent="0.25">
      <c r="C9" s="15" t="s">
        <v>11</v>
      </c>
      <c r="D9" s="31">
        <v>0.01</v>
      </c>
    </row>
    <row r="10" spans="3:9" x14ac:dyDescent="0.25">
      <c r="C10" s="15" t="s">
        <v>12</v>
      </c>
      <c r="D10" s="16">
        <f>D8*30%</f>
        <v>600</v>
      </c>
    </row>
    <row r="11" spans="3:9" ht="15.75" thickBot="1" x14ac:dyDescent="0.3"/>
    <row r="12" spans="3:9" x14ac:dyDescent="0.25">
      <c r="C12" s="7" t="s">
        <v>0</v>
      </c>
      <c r="D12" s="8"/>
    </row>
    <row r="13" spans="3:9" x14ac:dyDescent="0.25">
      <c r="C13" s="9" t="s">
        <v>1</v>
      </c>
      <c r="D13" s="25">
        <v>200</v>
      </c>
    </row>
    <row r="14" spans="3:9" x14ac:dyDescent="0.25">
      <c r="C14" s="10" t="s">
        <v>2</v>
      </c>
      <c r="D14" s="26">
        <v>5</v>
      </c>
    </row>
    <row r="15" spans="3:9" x14ac:dyDescent="0.25">
      <c r="C15" s="11" t="s">
        <v>3</v>
      </c>
      <c r="D15" s="27">
        <v>1.0800000000000001E-2</v>
      </c>
    </row>
    <row r="16" spans="3:9" x14ac:dyDescent="0.25">
      <c r="C16" s="12" t="s">
        <v>4</v>
      </c>
      <c r="D16" s="28">
        <f>FV(rend_mens,Anos*12,investir*-1)</f>
        <v>16760.803871851687</v>
      </c>
    </row>
    <row r="17" spans="2:7" ht="15.75" thickBot="1" x14ac:dyDescent="0.3">
      <c r="C17" s="13" t="s">
        <v>5</v>
      </c>
      <c r="D17" s="29">
        <f>D16*Rendimento_carteira</f>
        <v>167.60803871851687</v>
      </c>
    </row>
    <row r="19" spans="2:7" ht="15.75" thickBot="1" x14ac:dyDescent="0.3">
      <c r="G19" s="3"/>
    </row>
    <row r="20" spans="2:7" x14ac:dyDescent="0.25">
      <c r="C20" s="18" t="s">
        <v>6</v>
      </c>
      <c r="D20" s="19"/>
      <c r="E20" s="32" t="s">
        <v>15</v>
      </c>
    </row>
    <row r="21" spans="2:7" x14ac:dyDescent="0.25">
      <c r="B21" s="2">
        <v>2</v>
      </c>
      <c r="C21" s="20" t="s">
        <v>7</v>
      </c>
      <c r="D21" s="17">
        <f>FV($D$15,$B21*12,$D$13*-1)</f>
        <v>5446.172732116318</v>
      </c>
      <c r="E21" s="21">
        <f>D21*Rendimento_carteira</f>
        <v>54.461727321163181</v>
      </c>
    </row>
    <row r="22" spans="2:7" x14ac:dyDescent="0.25">
      <c r="B22" s="2">
        <v>5</v>
      </c>
      <c r="C22" s="20" t="s">
        <v>8</v>
      </c>
      <c r="D22" s="17">
        <f t="shared" ref="D22:D24" si="0">FV($D$15,$B22*12,$D$13*-1)</f>
        <v>16760.803871851687</v>
      </c>
      <c r="E22" s="21">
        <f>D22*Rendimento_carteira</f>
        <v>167.60803871851687</v>
      </c>
    </row>
    <row r="23" spans="2:7" x14ac:dyDescent="0.25">
      <c r="B23" s="2">
        <v>10</v>
      </c>
      <c r="C23" s="20" t="s">
        <v>9</v>
      </c>
      <c r="D23" s="17">
        <f t="shared" si="0"/>
        <v>48691.533250960019</v>
      </c>
      <c r="E23" s="21">
        <f>D23*Rendimento_carteira</f>
        <v>486.9153325096002</v>
      </c>
    </row>
    <row r="24" spans="2:7" ht="15.75" thickBot="1" x14ac:dyDescent="0.3">
      <c r="B24" s="2">
        <v>20</v>
      </c>
      <c r="C24" s="22" t="s">
        <v>10</v>
      </c>
      <c r="D24" s="23">
        <f t="shared" si="0"/>
        <v>225409.79865970465</v>
      </c>
      <c r="E24" s="24">
        <f>D24*Rendimento_carteira</f>
        <v>2254.0979865970467</v>
      </c>
    </row>
    <row r="26" spans="2:7" s="33" customFormat="1" x14ac:dyDescent="0.25"/>
    <row r="27" spans="2:7" s="33" customFormat="1" x14ac:dyDescent="0.25"/>
    <row r="28" spans="2:7" s="33" customFormat="1" x14ac:dyDescent="0.25"/>
    <row r="29" spans="2:7" x14ac:dyDescent="0.25">
      <c r="C29" s="45" t="s">
        <v>47</v>
      </c>
      <c r="D29" s="46" t="s">
        <v>41</v>
      </c>
      <c r="E29" s="43"/>
    </row>
    <row r="30" spans="2:7" s="33" customFormat="1" x14ac:dyDescent="0.25">
      <c r="C30" s="47" t="s">
        <v>49</v>
      </c>
      <c r="D30" s="48">
        <f>investir</f>
        <v>200</v>
      </c>
      <c r="E30" s="47"/>
    </row>
    <row r="31" spans="2:7" s="33" customFormat="1" x14ac:dyDescent="0.25">
      <c r="C31" s="47"/>
      <c r="D31" s="47"/>
      <c r="E31" s="47"/>
    </row>
    <row r="32" spans="2:7" x14ac:dyDescent="0.25">
      <c r="C32" s="51" t="s">
        <v>18</v>
      </c>
      <c r="D32" s="51" t="s">
        <v>50</v>
      </c>
      <c r="E32" s="51" t="s">
        <v>48</v>
      </c>
    </row>
    <row r="33" spans="3:5" x14ac:dyDescent="0.25">
      <c r="C33" s="44" t="s">
        <v>22</v>
      </c>
      <c r="D33" s="49">
        <f>VLOOKUP($D$29&amp;"-"&amp;C33,APOIO!A2:D20,4,FALSE)</f>
        <v>0.5</v>
      </c>
      <c r="E33" s="48">
        <f>$D$30*D33</f>
        <v>100</v>
      </c>
    </row>
    <row r="34" spans="3:5" x14ac:dyDescent="0.25">
      <c r="C34" s="44" t="s">
        <v>24</v>
      </c>
      <c r="D34" s="49">
        <f>VLOOKUP($D$29&amp;"-"&amp;C34,APOIO!A3:D21,4,FALSE)</f>
        <v>0.1</v>
      </c>
      <c r="E34" s="48">
        <f t="shared" ref="E34:E38" si="1">$D$30*D34</f>
        <v>20</v>
      </c>
    </row>
    <row r="35" spans="3:5" x14ac:dyDescent="0.25">
      <c r="C35" s="44" t="s">
        <v>26</v>
      </c>
      <c r="D35" s="49">
        <f>VLOOKUP($D$29&amp;"-"&amp;C35,APOIO!A4:D22,4,FALSE)</f>
        <v>0.05</v>
      </c>
      <c r="E35" s="48">
        <f t="shared" si="1"/>
        <v>10</v>
      </c>
    </row>
    <row r="36" spans="3:5" x14ac:dyDescent="0.25">
      <c r="C36" s="44" t="s">
        <v>28</v>
      </c>
      <c r="D36" s="49">
        <f>VLOOKUP($D$29&amp;"-"&amp;C36,APOIO!A5:D23,4,FALSE)</f>
        <v>0.05</v>
      </c>
      <c r="E36" s="48">
        <f t="shared" si="1"/>
        <v>10</v>
      </c>
    </row>
    <row r="37" spans="3:5" x14ac:dyDescent="0.25">
      <c r="C37" s="44" t="s">
        <v>30</v>
      </c>
      <c r="D37" s="49">
        <f>VLOOKUP($D$29&amp;"-"&amp;C37,APOIO!A6:D24,4,FALSE)</f>
        <v>0.2</v>
      </c>
      <c r="E37" s="48">
        <f t="shared" si="1"/>
        <v>40</v>
      </c>
    </row>
    <row r="38" spans="3:5" x14ac:dyDescent="0.25">
      <c r="C38" s="44" t="s">
        <v>32</v>
      </c>
      <c r="D38" s="49">
        <f>VLOOKUP($D$29&amp;"-"&amp;C38,APOIO!A7:D25,4,FALSE)</f>
        <v>0.1</v>
      </c>
      <c r="E38" s="48">
        <f t="shared" si="1"/>
        <v>20</v>
      </c>
    </row>
    <row r="39" spans="3:5" x14ac:dyDescent="0.25">
      <c r="C39" s="47"/>
      <c r="D39" s="47"/>
      <c r="E39" s="50">
        <f>SUM(E33:E38)</f>
        <v>200</v>
      </c>
    </row>
  </sheetData>
  <mergeCells count="3">
    <mergeCell ref="C12:D12"/>
    <mergeCell ref="C20:D20"/>
    <mergeCell ref="C7:D7"/>
  </mergeCells>
  <dataValidations count="2">
    <dataValidation showDropDown="1" showInputMessage="1" showErrorMessage="1" sqref="D30" xr:uid="{2C1A16E3-68A0-4C82-89E3-21614A580C08}"/>
    <dataValidation type="list" allowBlank="1" showInputMessage="1" showErrorMessage="1" sqref="D29" xr:uid="{8353E230-98B3-4928-AD59-165F881D1498}">
      <formula1>"Moderado,Conservador,Agressivo"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F430-0B53-4258-B1BB-6DD554AFE2F3}">
  <dimension ref="A2:H20"/>
  <sheetViews>
    <sheetView workbookViewId="0">
      <selection activeCell="D28" sqref="D28"/>
    </sheetView>
  </sheetViews>
  <sheetFormatPr defaultRowHeight="15" x14ac:dyDescent="0.25"/>
  <cols>
    <col min="1" max="1" width="30.85546875" bestFit="1" customWidth="1"/>
    <col min="2" max="2" width="11.140625" bestFit="1" customWidth="1"/>
    <col min="3" max="3" width="19.7109375" bestFit="1" customWidth="1"/>
    <col min="4" max="4" width="4.7109375" bestFit="1" customWidth="1"/>
    <col min="7" max="7" width="18.140625" bestFit="1" customWidth="1"/>
  </cols>
  <sheetData>
    <row r="2" spans="1:8" x14ac:dyDescent="0.25">
      <c r="A2" s="34" t="s">
        <v>16</v>
      </c>
      <c r="B2" s="34" t="s">
        <v>17</v>
      </c>
      <c r="C2" s="34" t="s">
        <v>18</v>
      </c>
      <c r="D2" s="34" t="s">
        <v>19</v>
      </c>
    </row>
    <row r="3" spans="1:8" x14ac:dyDescent="0.25">
      <c r="A3" s="35" t="s">
        <v>20</v>
      </c>
      <c r="B3" s="35" t="s">
        <v>21</v>
      </c>
      <c r="C3" s="36" t="s">
        <v>22</v>
      </c>
      <c r="D3" s="37">
        <v>0.3</v>
      </c>
      <c r="G3" s="35" t="s">
        <v>20</v>
      </c>
      <c r="H3" s="41" t="b">
        <f>APP!D33=VLOOKUP(G3,$A$2:$D$20,4,FALSE)</f>
        <v>0</v>
      </c>
    </row>
    <row r="4" spans="1:8" x14ac:dyDescent="0.25">
      <c r="A4" s="35" t="s">
        <v>23</v>
      </c>
      <c r="B4" s="35" t="s">
        <v>21</v>
      </c>
      <c r="C4" s="36" t="s">
        <v>24</v>
      </c>
      <c r="D4" s="37">
        <v>0.5</v>
      </c>
    </row>
    <row r="5" spans="1:8" x14ac:dyDescent="0.25">
      <c r="A5" s="35" t="s">
        <v>25</v>
      </c>
      <c r="B5" s="35" t="s">
        <v>21</v>
      </c>
      <c r="C5" s="36" t="s">
        <v>26</v>
      </c>
      <c r="D5" s="37">
        <v>0.1</v>
      </c>
    </row>
    <row r="6" spans="1:8" x14ac:dyDescent="0.25">
      <c r="A6" s="35" t="s">
        <v>27</v>
      </c>
      <c r="B6" s="35" t="s">
        <v>21</v>
      </c>
      <c r="C6" s="36" t="s">
        <v>28</v>
      </c>
      <c r="D6" s="37">
        <v>0.1</v>
      </c>
    </row>
    <row r="7" spans="1:8" x14ac:dyDescent="0.25">
      <c r="A7" s="35" t="s">
        <v>29</v>
      </c>
      <c r="B7" s="35" t="s">
        <v>21</v>
      </c>
      <c r="C7" s="36" t="s">
        <v>30</v>
      </c>
      <c r="D7" s="37">
        <v>0</v>
      </c>
    </row>
    <row r="8" spans="1:8" ht="15.75" thickBot="1" x14ac:dyDescent="0.3">
      <c r="A8" s="38" t="s">
        <v>31</v>
      </c>
      <c r="B8" s="38" t="s">
        <v>21</v>
      </c>
      <c r="C8" s="39" t="s">
        <v>32</v>
      </c>
      <c r="D8" s="40">
        <v>0</v>
      </c>
    </row>
    <row r="9" spans="1:8" x14ac:dyDescent="0.25">
      <c r="A9" s="35" t="s">
        <v>33</v>
      </c>
      <c r="B9" s="35" t="s">
        <v>34</v>
      </c>
      <c r="C9" s="36" t="s">
        <v>22</v>
      </c>
      <c r="D9" s="37">
        <v>0.32</v>
      </c>
    </row>
    <row r="10" spans="1:8" x14ac:dyDescent="0.25">
      <c r="A10" s="35" t="s">
        <v>35</v>
      </c>
      <c r="B10" s="35" t="s">
        <v>34</v>
      </c>
      <c r="C10" s="36" t="s">
        <v>24</v>
      </c>
      <c r="D10" s="42">
        <v>0.35</v>
      </c>
    </row>
    <row r="11" spans="1:8" x14ac:dyDescent="0.25">
      <c r="A11" s="35" t="s">
        <v>36</v>
      </c>
      <c r="B11" s="35" t="s">
        <v>34</v>
      </c>
      <c r="C11" s="36" t="s">
        <v>26</v>
      </c>
      <c r="D11" s="37">
        <v>0.08</v>
      </c>
    </row>
    <row r="12" spans="1:8" x14ac:dyDescent="0.25">
      <c r="A12" s="35" t="s">
        <v>37</v>
      </c>
      <c r="B12" s="35" t="s">
        <v>34</v>
      </c>
      <c r="C12" s="36" t="s">
        <v>28</v>
      </c>
      <c r="D12" s="37">
        <v>0.05</v>
      </c>
    </row>
    <row r="13" spans="1:8" x14ac:dyDescent="0.25">
      <c r="A13" s="35" t="s">
        <v>38</v>
      </c>
      <c r="B13" s="35" t="s">
        <v>34</v>
      </c>
      <c r="C13" s="36" t="s">
        <v>30</v>
      </c>
      <c r="D13" s="37">
        <v>0.1</v>
      </c>
    </row>
    <row r="14" spans="1:8" ht="15.75" thickBot="1" x14ac:dyDescent="0.3">
      <c r="A14" s="38" t="s">
        <v>39</v>
      </c>
      <c r="B14" s="38" t="s">
        <v>34</v>
      </c>
      <c r="C14" s="39" t="s">
        <v>32</v>
      </c>
      <c r="D14" s="40">
        <v>0.1</v>
      </c>
    </row>
    <row r="15" spans="1:8" x14ac:dyDescent="0.25">
      <c r="A15" s="35" t="s">
        <v>40</v>
      </c>
      <c r="B15" s="35" t="s">
        <v>41</v>
      </c>
      <c r="C15" s="36" t="s">
        <v>22</v>
      </c>
      <c r="D15" s="37">
        <v>0.5</v>
      </c>
    </row>
    <row r="16" spans="1:8" x14ac:dyDescent="0.25">
      <c r="A16" s="35" t="s">
        <v>42</v>
      </c>
      <c r="B16" s="35" t="s">
        <v>41</v>
      </c>
      <c r="C16" s="36" t="s">
        <v>24</v>
      </c>
      <c r="D16" s="37">
        <v>0.1</v>
      </c>
    </row>
    <row r="17" spans="1:4" x14ac:dyDescent="0.25">
      <c r="A17" s="35" t="s">
        <v>43</v>
      </c>
      <c r="B17" s="35" t="s">
        <v>41</v>
      </c>
      <c r="C17" s="36" t="s">
        <v>26</v>
      </c>
      <c r="D17" s="37">
        <v>0.05</v>
      </c>
    </row>
    <row r="18" spans="1:4" x14ac:dyDescent="0.25">
      <c r="A18" s="35" t="s">
        <v>44</v>
      </c>
      <c r="B18" s="35" t="s">
        <v>41</v>
      </c>
      <c r="C18" s="36" t="s">
        <v>28</v>
      </c>
      <c r="D18" s="37">
        <v>0.05</v>
      </c>
    </row>
    <row r="19" spans="1:4" x14ac:dyDescent="0.25">
      <c r="A19" s="35" t="s">
        <v>45</v>
      </c>
      <c r="B19" s="35" t="s">
        <v>41</v>
      </c>
      <c r="C19" s="36" t="s">
        <v>30</v>
      </c>
      <c r="D19" s="37">
        <v>0.2</v>
      </c>
    </row>
    <row r="20" spans="1:4" ht="15.75" thickBot="1" x14ac:dyDescent="0.3">
      <c r="A20" s="38" t="s">
        <v>46</v>
      </c>
      <c r="B20" s="38" t="s">
        <v>41</v>
      </c>
      <c r="C20" s="39" t="s">
        <v>32</v>
      </c>
      <c r="D20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APP</vt:lpstr>
      <vt:lpstr>APOIO</vt:lpstr>
      <vt:lpstr>Anos</vt:lpstr>
      <vt:lpstr>investir</vt:lpstr>
      <vt:lpstr>rend_mens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Costa e Souza</dc:creator>
  <cp:lastModifiedBy>Miguel Costa e Souza</cp:lastModifiedBy>
  <dcterms:created xsi:type="dcterms:W3CDTF">2026-09-30T13:05:12Z</dcterms:created>
  <dcterms:modified xsi:type="dcterms:W3CDTF">2026-10-06T18:44:02Z</dcterms:modified>
</cp:coreProperties>
</file>